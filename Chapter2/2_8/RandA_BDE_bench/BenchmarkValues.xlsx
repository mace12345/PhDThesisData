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cmsma_leeds_ac_uk/Documents/Samuel Mace PhD Research Project/Li_extraction/LiLig_BindingBenchmark/EmpiricalBE/"/>
    </mc:Choice>
  </mc:AlternateContent>
  <xr:revisionPtr revIDLastSave="117" documentId="11_F25DC773A252ABDACC1048CE09184E3A5ADE58E8" xr6:coauthVersionLast="47" xr6:coauthVersionMax="47" xr10:uidLastSave="{25134F28-1FE7-4104-B854-F71E97DDEFB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19" i="1"/>
  <c r="D10" i="1"/>
  <c r="D7" i="1"/>
  <c r="D12" i="1"/>
  <c r="D9" i="1"/>
  <c r="D11" i="1"/>
  <c r="D18" i="1"/>
  <c r="D6" i="1"/>
  <c r="D8" i="1"/>
  <c r="D2" i="1"/>
  <c r="D15" i="1"/>
  <c r="D14" i="1"/>
  <c r="D16" i="1"/>
  <c r="D13" i="1"/>
  <c r="D17" i="1"/>
  <c r="D3" i="1"/>
</calcChain>
</file>

<file path=xl/sharedStrings.xml><?xml version="1.0" encoding="utf-8"?>
<sst xmlns="http://schemas.openxmlformats.org/spreadsheetml/2006/main" count="57" uniqueCount="39">
  <si>
    <t>Ligand</t>
  </si>
  <si>
    <t>Empirical Bond Energy (kJ mol-1)</t>
  </si>
  <si>
    <t>Empirical Bond Energy (kcal mol-1)</t>
  </si>
  <si>
    <t>Water</t>
  </si>
  <si>
    <t>Methanol</t>
  </si>
  <si>
    <t>Carbonyl</t>
  </si>
  <si>
    <t>Ethanol</t>
  </si>
  <si>
    <t>Propanol</t>
  </si>
  <si>
    <t>n-Butanol</t>
  </si>
  <si>
    <t>i-Propanol</t>
  </si>
  <si>
    <t>t-Butanol</t>
  </si>
  <si>
    <t>Dimethylether</t>
  </si>
  <si>
    <t>Imidazole</t>
  </si>
  <si>
    <t>Benzene</t>
  </si>
  <si>
    <t>Pyridine</t>
  </si>
  <si>
    <t>Pyridazine</t>
  </si>
  <si>
    <t>Pyrimidine</t>
  </si>
  <si>
    <t>Pyrazine</t>
  </si>
  <si>
    <t>s-Triazine</t>
  </si>
  <si>
    <t>12-crown-4</t>
  </si>
  <si>
    <t>SMILES</t>
  </si>
  <si>
    <t>[Li+][Ar]</t>
  </si>
  <si>
    <t>Identifier</t>
  </si>
  <si>
    <t>Argon</t>
  </si>
  <si>
    <t>[Li+][C]=O</t>
  </si>
  <si>
    <t>[Li+][OH2]</t>
  </si>
  <si>
    <t>[Li+]O([H])C</t>
  </si>
  <si>
    <t>[Li+]O([H])CC</t>
  </si>
  <si>
    <t>[Li+]O([H])CCC</t>
  </si>
  <si>
    <t>[Li+]O(C)C</t>
  </si>
  <si>
    <t>[Li+]O([H])C(C)C</t>
  </si>
  <si>
    <t>[Li+]O([H])CCCC</t>
  </si>
  <si>
    <t>[Li+]O([H])C(C)(C)C</t>
  </si>
  <si>
    <t>[Li+][N]1=CNC=C1</t>
  </si>
  <si>
    <t>[Li+][N]1=CC=CC=C1</t>
  </si>
  <si>
    <t>[Li+][N]1=CC=CC=N1</t>
  </si>
  <si>
    <t>[Li+][N]1=CC=CN=C1</t>
  </si>
  <si>
    <t>[Li+][N]1=CC=NC=C1</t>
  </si>
  <si>
    <t>[Li+][N]1=CN=CN=C1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</si>
</sst>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5" sqref="D5:D10"/>
    </sheetView>
  </sheetViews>
  <sheetFormatPr defaultRowHeight="15" x14ac:dyDescent="0.25"/>
  <cols>
    <col min="1" max="1" width="17.85546875" customWidth="1"/>
  </cols>
  <sheetData>
    <row r="1" spans="1:5" x14ac:dyDescent="0.25">
      <c r="A1" t="s">
        <v>22</v>
      </c>
      <c r="B1" t="s">
        <v>0</v>
      </c>
      <c r="C1" t="s">
        <v>1</v>
      </c>
      <c r="D1" t="s">
        <v>2</v>
      </c>
      <c r="E1" t="s">
        <v>20</v>
      </c>
    </row>
    <row r="2" spans="1:5" x14ac:dyDescent="0.25">
      <c r="A2" t="s">
        <v>19</v>
      </c>
      <c r="B2" t="s">
        <v>19</v>
      </c>
      <c r="C2">
        <v>372</v>
      </c>
      <c r="D2">
        <f>C2*0.24</f>
        <v>89.28</v>
      </c>
    </row>
    <row r="3" spans="1:5" x14ac:dyDescent="0.25">
      <c r="A3" t="s">
        <v>23</v>
      </c>
      <c r="B3" t="s">
        <v>23</v>
      </c>
      <c r="C3">
        <v>33</v>
      </c>
      <c r="D3">
        <f>C3*0.24</f>
        <v>7.92</v>
      </c>
      <c r="E3" t="s">
        <v>21</v>
      </c>
    </row>
    <row r="4" spans="1:5" x14ac:dyDescent="0.25">
      <c r="A4" t="s">
        <v>13</v>
      </c>
      <c r="B4" t="s">
        <v>13</v>
      </c>
      <c r="D4">
        <v>38</v>
      </c>
    </row>
    <row r="5" spans="1:5" x14ac:dyDescent="0.25">
      <c r="A5" t="s">
        <v>5</v>
      </c>
      <c r="B5" t="s">
        <v>5</v>
      </c>
      <c r="C5">
        <v>55</v>
      </c>
      <c r="D5" s="1">
        <f>C5*0.24</f>
        <v>13.2</v>
      </c>
      <c r="E5" t="s">
        <v>24</v>
      </c>
    </row>
    <row r="6" spans="1:5" x14ac:dyDescent="0.25">
      <c r="A6" t="s">
        <v>11</v>
      </c>
      <c r="B6" t="s">
        <v>11</v>
      </c>
      <c r="C6">
        <v>165</v>
      </c>
      <c r="D6" s="1">
        <f>C6*0.24</f>
        <v>39.6</v>
      </c>
      <c r="E6" t="s">
        <v>29</v>
      </c>
    </row>
    <row r="7" spans="1:5" x14ac:dyDescent="0.25">
      <c r="A7" t="s">
        <v>6</v>
      </c>
      <c r="B7" t="s">
        <v>6</v>
      </c>
      <c r="C7">
        <v>164</v>
      </c>
      <c r="D7" s="1">
        <f>C7*0.24</f>
        <v>39.36</v>
      </c>
      <c r="E7" t="s">
        <v>27</v>
      </c>
    </row>
    <row r="8" spans="1:5" x14ac:dyDescent="0.25">
      <c r="A8" t="s">
        <v>12</v>
      </c>
      <c r="B8" t="s">
        <v>12</v>
      </c>
      <c r="C8">
        <v>211</v>
      </c>
      <c r="D8" s="1">
        <f>C8*0.24</f>
        <v>50.64</v>
      </c>
      <c r="E8" t="s">
        <v>33</v>
      </c>
    </row>
    <row r="9" spans="1:5" x14ac:dyDescent="0.25">
      <c r="A9" t="s">
        <v>9</v>
      </c>
      <c r="B9" t="s">
        <v>9</v>
      </c>
      <c r="C9">
        <v>173</v>
      </c>
      <c r="D9" s="1">
        <f>C9*0.24</f>
        <v>41.519999999999996</v>
      </c>
      <c r="E9" t="s">
        <v>30</v>
      </c>
    </row>
    <row r="10" spans="1:5" x14ac:dyDescent="0.25">
      <c r="A10" t="s">
        <v>4</v>
      </c>
      <c r="B10" t="s">
        <v>4</v>
      </c>
      <c r="C10">
        <v>154</v>
      </c>
      <c r="D10" s="1">
        <f>C10*0.24</f>
        <v>36.96</v>
      </c>
      <c r="E10" t="s">
        <v>26</v>
      </c>
    </row>
    <row r="11" spans="1:5" x14ac:dyDescent="0.25">
      <c r="A11" t="s">
        <v>8</v>
      </c>
      <c r="B11" t="s">
        <v>8</v>
      </c>
      <c r="C11">
        <v>178</v>
      </c>
      <c r="D11">
        <f>C11*0.24</f>
        <v>42.72</v>
      </c>
      <c r="E11" t="s">
        <v>31</v>
      </c>
    </row>
    <row r="12" spans="1:5" x14ac:dyDescent="0.25">
      <c r="A12" t="s">
        <v>7</v>
      </c>
      <c r="B12" t="s">
        <v>7</v>
      </c>
      <c r="C12">
        <v>171</v>
      </c>
      <c r="D12">
        <f>C12*0.24</f>
        <v>41.04</v>
      </c>
      <c r="E12" t="s">
        <v>28</v>
      </c>
    </row>
    <row r="13" spans="1:5" x14ac:dyDescent="0.25">
      <c r="A13" t="s">
        <v>17</v>
      </c>
      <c r="B13" t="s">
        <v>17</v>
      </c>
      <c r="C13">
        <v>149</v>
      </c>
      <c r="D13" s="1">
        <f>C13*0.24</f>
        <v>35.76</v>
      </c>
      <c r="E13" t="s">
        <v>37</v>
      </c>
    </row>
    <row r="14" spans="1:5" x14ac:dyDescent="0.25">
      <c r="A14" t="s">
        <v>15</v>
      </c>
      <c r="B14" t="s">
        <v>15</v>
      </c>
      <c r="C14">
        <v>234</v>
      </c>
      <c r="D14" s="1">
        <f>C14*0.24</f>
        <v>56.16</v>
      </c>
      <c r="E14" t="s">
        <v>35</v>
      </c>
    </row>
    <row r="15" spans="1:5" x14ac:dyDescent="0.25">
      <c r="A15" t="s">
        <v>14</v>
      </c>
      <c r="B15" t="s">
        <v>14</v>
      </c>
      <c r="C15">
        <v>181</v>
      </c>
      <c r="D15" s="1">
        <f>C15*0.24</f>
        <v>43.44</v>
      </c>
      <c r="E15" t="s">
        <v>34</v>
      </c>
    </row>
    <row r="16" spans="1:5" x14ac:dyDescent="0.25">
      <c r="A16" t="s">
        <v>16</v>
      </c>
      <c r="B16" t="s">
        <v>16</v>
      </c>
      <c r="C16">
        <v>154</v>
      </c>
      <c r="D16" s="1">
        <f>C16*0.24</f>
        <v>36.96</v>
      </c>
      <c r="E16" t="s">
        <v>36</v>
      </c>
    </row>
    <row r="17" spans="1:5" x14ac:dyDescent="0.25">
      <c r="A17" t="s">
        <v>18</v>
      </c>
      <c r="B17" t="s">
        <v>18</v>
      </c>
      <c r="C17">
        <v>127</v>
      </c>
      <c r="D17" s="1">
        <f>C17*0.24</f>
        <v>30.48</v>
      </c>
      <c r="E17" t="s">
        <v>38</v>
      </c>
    </row>
    <row r="18" spans="1:5" x14ac:dyDescent="0.25">
      <c r="A18" t="s">
        <v>10</v>
      </c>
      <c r="B18" t="s">
        <v>10</v>
      </c>
      <c r="C18">
        <v>178</v>
      </c>
      <c r="D18" s="1">
        <f>C18*0.24</f>
        <v>42.72</v>
      </c>
      <c r="E18" t="s">
        <v>32</v>
      </c>
    </row>
    <row r="19" spans="1:5" x14ac:dyDescent="0.25">
      <c r="A19" t="s">
        <v>3</v>
      </c>
      <c r="B19" t="s">
        <v>3</v>
      </c>
      <c r="C19">
        <v>135</v>
      </c>
      <c r="D19" s="1">
        <f>C19*0.24</f>
        <v>32.4</v>
      </c>
      <c r="E19" t="s">
        <v>25</v>
      </c>
    </row>
  </sheetData>
  <autoFilter ref="A1:E19" xr:uid="{00000000-0001-0000-0000-000000000000}">
    <sortState xmlns:xlrd2="http://schemas.microsoft.com/office/spreadsheetml/2017/richdata2" ref="A2:E19">
      <sortCondition ref="A1:A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Mace</dc:creator>
  <cp:lastModifiedBy>Samuel Mace</cp:lastModifiedBy>
  <dcterms:created xsi:type="dcterms:W3CDTF">2015-06-05T18:17:20Z</dcterms:created>
  <dcterms:modified xsi:type="dcterms:W3CDTF">2026-02-23T10:20:20Z</dcterms:modified>
</cp:coreProperties>
</file>